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Rate Card" sheetId="2" state="visible" r:id="rId4"/>
    <sheet name="Subscriptions" sheetId="3" state="visible" r:id="rId5"/>
    <sheet name="Ledger" sheetId="4" state="visible" r:id="rId6"/>
    <sheet name="Quarterl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<sst xmlns="http://schemas.openxmlformats.org/spreadsheetml/2006/main" count="72" uniqueCount="71">
  <si>
    <t xml:space="preserve">Freelance Rate Card &amp; Finance Tracker</t>
  </si>
  <si>
    <t xml:space="preserve">A blank kit. Fill in the yellow cells and the math updates itself.</t>
  </si>
  <si>
    <t xml:space="preserve">Tabs:</t>
  </si>
  <si>
    <t xml:space="preserve">  Rate Card     set your hourly rate, get a price per project type</t>
  </si>
  <si>
    <t xml:space="preserve">  Subscriptions track tool costs: active vs. fully-loaded vs. max tier</t>
  </si>
  <si>
    <t xml:space="preserve">  Ledger        one row per transaction, split into income / expense types</t>
  </si>
  <si>
    <t xml:space="preserve">  Quarterly     auto-totals the ledger by quarter and sets aside for tax</t>
  </si>
  <si>
    <t xml:space="preserve">Legend:</t>
  </si>
  <si>
    <t xml:space="preserve">  Yellow cell  = an input you edit</t>
  </si>
  <si>
    <t xml:space="preserve">  Blue text    = a starting/example value; overwrite it</t>
  </si>
  <si>
    <t xml:space="preserve">  Black text   = a formula; leave it alone, it recalculates</t>
  </si>
  <si>
    <t xml:space="preserve">Each table has one example row in blue. Replace it with your own.</t>
  </si>
  <si>
    <t xml:space="preserve">The 30% tax set-aside is a common convention, not calculated tax</t>
  </si>
  <si>
    <t xml:space="preserve">advice. Confirm your own numbers with a professional.</t>
  </si>
  <si>
    <t xml:space="preserve">Rate Card</t>
  </si>
  <si>
    <t xml:space="preserve">Price = min hours x your hourly rate. Adjust the hour anchors to your own pace.</t>
  </si>
  <si>
    <t xml:space="preserve">Hourly rate ($/hr)</t>
  </si>
  <si>
    <t xml:space="preserve">Full-time conversion ($/yr)</t>
  </si>
  <si>
    <t xml:space="preserve">Design type</t>
  </si>
  <si>
    <t xml:space="preserve">Min hours (est.)</t>
  </si>
  <si>
    <t xml:space="preserve">Price</t>
  </si>
  <si>
    <t xml:space="preserve">Presentations, decks</t>
  </si>
  <si>
    <t xml:space="preserve">Emails, broadcast</t>
  </si>
  <si>
    <t xml:space="preserve">Consult</t>
  </si>
  <si>
    <t xml:space="preserve">Print, packaging, production</t>
  </si>
  <si>
    <t xml:space="preserve">Single page / landing-page UI</t>
  </si>
  <si>
    <t xml:space="preserve">Full site UX/UI</t>
  </si>
  <si>
    <t xml:space="preserve">Experiential</t>
  </si>
  <si>
    <t xml:space="preserve">Pro Subscriptions / mo</t>
  </si>
  <si>
    <t xml:space="preserve">Active = today. Prospective = fully-loaded stack. Maximum = tool's top tier.</t>
  </si>
  <si>
    <t xml:space="preserve">Tool</t>
  </si>
  <si>
    <t xml:space="preserve">Active</t>
  </si>
  <si>
    <t xml:space="preserve">Prospective</t>
  </si>
  <si>
    <t xml:space="preserve">Difference</t>
  </si>
  <si>
    <t xml:space="preserve">Maximum</t>
  </si>
  <si>
    <t xml:space="preserve">Email / domain</t>
  </si>
  <si>
    <t xml:space="preserve">Office suite</t>
  </si>
  <si>
    <t xml:space="preserve">Cloud storage</t>
  </si>
  <si>
    <t xml:space="preserve">Adobe Creative Cloud</t>
  </si>
  <si>
    <t xml:space="preserve">Figma</t>
  </si>
  <si>
    <t xml:space="preserve">LinkedIn</t>
  </si>
  <si>
    <t xml:space="preserve">AI assistant</t>
  </si>
  <si>
    <t xml:space="preserve">Time tracking</t>
  </si>
  <si>
    <t xml:space="preserve">Whiteboard / collaboration</t>
  </si>
  <si>
    <t xml:space="preserve">Total</t>
  </si>
  <si>
    <t xml:space="preserve">Income &amp; Expense Ledger</t>
  </si>
  <si>
    <t xml:space="preserve">Date</t>
  </si>
  <si>
    <t xml:space="preserve">Description</t>
  </si>
  <si>
    <t xml:space="preserve">Income (+)</t>
  </si>
  <si>
    <t xml:space="preserve">Software (-)</t>
  </si>
  <si>
    <t xml:space="preserve">Equipment (-)</t>
  </si>
  <si>
    <t xml:space="preserve">Other (-)</t>
  </si>
  <si>
    <t xml:space="preserve">Notes</t>
  </si>
  <si>
    <t xml:space="preserve">Client A retainer (example)</t>
  </si>
  <si>
    <t xml:space="preserve">ACH / invoice #</t>
  </si>
  <si>
    <t xml:space="preserve">Cloud storage (example)</t>
  </si>
  <si>
    <t xml:space="preserve">monthly subscription</t>
  </si>
  <si>
    <t xml:space="preserve">New laptop (example)</t>
  </si>
  <si>
    <t xml:space="preserve">equipment</t>
  </si>
  <si>
    <t xml:space="preserve">Quarterly Roll-up</t>
  </si>
  <si>
    <t xml:space="preserve">Year</t>
  </si>
  <si>
    <t xml:space="preserve">Set-aside rate</t>
  </si>
  <si>
    <t xml:space="preserve">Quarter</t>
  </si>
  <si>
    <t xml:space="preserve">Gross income</t>
  </si>
  <si>
    <t xml:space="preserve">Total expenses</t>
  </si>
  <si>
    <t xml:space="preserve">Net profit</t>
  </si>
  <si>
    <t xml:space="preserve">Set aside</t>
  </si>
  <si>
    <t xml:space="preserve">Q1 (Jan-Mar)</t>
  </si>
  <si>
    <t xml:space="preserve">Q2 (Apr-Jun)</t>
  </si>
  <si>
    <t xml:space="preserve">Q3 (Jul-Sep)</t>
  </si>
  <si>
    <t xml:space="preserve">Q4 (Oct-Dec)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</si>
</sst>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yyyy\-mm\-dd"/>
    <numFmt numFmtId="167" formatCode="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3" t="s">
        <v>15</v>
      </c>
    </row>
    <row r="4" customFormat="false" ht="15" hidden="false" customHeight="false" outlineLevel="0" collapsed="false">
      <c r="A4" s="4" t="s">
        <v>16</v>
      </c>
      <c r="B4" s="5" t="n">
        <v>100</v>
      </c>
    </row>
    <row r="5" customFormat="false" ht="15" hidden="false" customHeight="false" outlineLevel="0" collapsed="false">
      <c r="A5" s="4" t="s">
        <v>17</v>
      </c>
      <c r="B5" s="5" t="n">
        <v>150000</v>
      </c>
    </row>
    <row r="7" customFormat="false" ht="15" hidden="false" customHeight="false" outlineLevel="0" collapsed="false">
      <c r="A7" s="6" t="s">
        <v>18</v>
      </c>
      <c r="B7" s="6" t="s">
        <v>19</v>
      </c>
      <c r="C7" s="6" t="s">
        <v>20</v>
      </c>
    </row>
    <row r="8" customFormat="false" ht="15" hidden="false" customHeight="false" outlineLevel="0" collapsed="false">
      <c r="A8" s="7" t="s">
        <v>21</v>
      </c>
      <c r="B8" s="8" t="n">
        <v>5</v>
      </c>
      <c r="C8" s="9" t="n">
        <f aca="false">B8*$B$4</f>
        <v>500</v>
      </c>
    </row>
    <row r="9" customFormat="false" ht="15" hidden="false" customHeight="false" outlineLevel="0" collapsed="false">
      <c r="A9" s="7" t="s">
        <v>22</v>
      </c>
      <c r="B9" s="8" t="n">
        <v>5</v>
      </c>
      <c r="C9" s="9" t="n">
        <f aca="false">B9*$B$4</f>
        <v>500</v>
      </c>
    </row>
    <row r="10" customFormat="false" ht="15" hidden="false" customHeight="false" outlineLevel="0" collapsed="false">
      <c r="A10" s="7" t="s">
        <v>23</v>
      </c>
      <c r="B10" s="8" t="n">
        <v>10</v>
      </c>
      <c r="C10" s="9" t="n">
        <f aca="false">B10*$B$4</f>
        <v>1000</v>
      </c>
    </row>
    <row r="11" customFormat="false" ht="15" hidden="false" customHeight="false" outlineLevel="0" collapsed="false">
      <c r="A11" s="7" t="s">
        <v>24</v>
      </c>
      <c r="B11" s="8" t="n">
        <v>15</v>
      </c>
      <c r="C11" s="9" t="n">
        <f aca="false">B11*$B$4</f>
        <v>1500</v>
      </c>
    </row>
    <row r="12" customFormat="false" ht="15" hidden="false" customHeight="false" outlineLevel="0" collapsed="false">
      <c r="A12" s="7" t="s">
        <v>25</v>
      </c>
      <c r="B12" s="8" t="n">
        <v>50</v>
      </c>
      <c r="C12" s="9" t="n">
        <f aca="false">B12*$B$4</f>
        <v>5000</v>
      </c>
    </row>
    <row r="13" customFormat="false" ht="15" hidden="false" customHeight="false" outlineLevel="0" collapsed="false">
      <c r="A13" s="7" t="s">
        <v>26</v>
      </c>
      <c r="B13" s="8" t="n">
        <v>100</v>
      </c>
      <c r="C13" s="9" t="n">
        <f aca="false">B13*$B$4</f>
        <v>10000</v>
      </c>
    </row>
    <row r="14" customFormat="false" ht="15" hidden="false" customHeight="false" outlineLevel="0" collapsed="false">
      <c r="A14" s="7" t="s">
        <v>27</v>
      </c>
      <c r="B14" s="8" t="n">
        <v>150</v>
      </c>
      <c r="C14" s="9" t="n">
        <f aca="false">B14*$B$4</f>
        <v>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3" t="s">
        <v>29</v>
      </c>
    </row>
    <row r="4" customFormat="false" ht="15" hidden="false" customHeight="false" outlineLevel="0" collapsed="false">
      <c r="A4" s="6" t="s">
        <v>30</v>
      </c>
      <c r="B4" s="6" t="s">
        <v>31</v>
      </c>
      <c r="C4" s="6" t="s">
        <v>32</v>
      </c>
      <c r="D4" s="6" t="s">
        <v>33</v>
      </c>
      <c r="E4" s="6" t="s">
        <v>34</v>
      </c>
    </row>
    <row r="5" customFormat="false" ht="15" hidden="false" customHeight="false" outlineLevel="0" collapsed="false">
      <c r="A5" s="7" t="s">
        <v>35</v>
      </c>
      <c r="B5" s="10" t="n">
        <v>12</v>
      </c>
      <c r="C5" s="10" t="n">
        <v>12</v>
      </c>
      <c r="D5" s="9" t="n">
        <f aca="false">C5-B5</f>
        <v>0</v>
      </c>
      <c r="E5" s="10" t="n">
        <v>20</v>
      </c>
    </row>
    <row r="6" customFormat="false" ht="15" hidden="false" customHeight="false" outlineLevel="0" collapsed="false">
      <c r="A6" s="7" t="s">
        <v>36</v>
      </c>
      <c r="B6" s="9"/>
      <c r="C6" s="9"/>
      <c r="D6" s="9" t="n">
        <f aca="false">C6-B6</f>
        <v>0</v>
      </c>
      <c r="E6" s="9"/>
    </row>
    <row r="7" customFormat="false" ht="15" hidden="false" customHeight="false" outlineLevel="0" collapsed="false">
      <c r="A7" s="7" t="s">
        <v>37</v>
      </c>
      <c r="B7" s="9"/>
      <c r="C7" s="9"/>
      <c r="D7" s="9" t="n">
        <f aca="false">C7-B7</f>
        <v>0</v>
      </c>
      <c r="E7" s="9"/>
    </row>
    <row r="8" customFormat="false" ht="15" hidden="false" customHeight="false" outlineLevel="0" collapsed="false">
      <c r="A8" s="7" t="s">
        <v>38</v>
      </c>
      <c r="B8" s="9"/>
      <c r="C8" s="9"/>
      <c r="D8" s="9" t="n">
        <f aca="false">C8-B8</f>
        <v>0</v>
      </c>
      <c r="E8" s="9"/>
    </row>
    <row r="9" customFormat="false" ht="15" hidden="false" customHeight="false" outlineLevel="0" collapsed="false">
      <c r="A9" s="7" t="s">
        <v>39</v>
      </c>
      <c r="B9" s="9"/>
      <c r="C9" s="9"/>
      <c r="D9" s="9" t="n">
        <f aca="false">C9-B9</f>
        <v>0</v>
      </c>
      <c r="E9" s="9"/>
    </row>
    <row r="10" customFormat="false" ht="15" hidden="false" customHeight="false" outlineLevel="0" collapsed="false">
      <c r="A10" s="7" t="s">
        <v>40</v>
      </c>
      <c r="B10" s="9"/>
      <c r="C10" s="9"/>
      <c r="D10" s="9" t="n">
        <f aca="false">C10-B10</f>
        <v>0</v>
      </c>
      <c r="E10" s="9"/>
    </row>
    <row r="11" customFormat="false" ht="15" hidden="false" customHeight="false" outlineLevel="0" collapsed="false">
      <c r="A11" s="7" t="s">
        <v>41</v>
      </c>
      <c r="B11" s="9"/>
      <c r="C11" s="9"/>
      <c r="D11" s="9" t="n">
        <f aca="false">C11-B11</f>
        <v>0</v>
      </c>
      <c r="E11" s="9"/>
    </row>
    <row r="12" customFormat="false" ht="15" hidden="false" customHeight="false" outlineLevel="0" collapsed="false">
      <c r="A12" s="7" t="s">
        <v>42</v>
      </c>
      <c r="B12" s="9"/>
      <c r="C12" s="9"/>
      <c r="D12" s="9" t="n">
        <f aca="false">C12-B12</f>
        <v>0</v>
      </c>
      <c r="E12" s="9"/>
    </row>
    <row r="13" customFormat="false" ht="15" hidden="false" customHeight="false" outlineLevel="0" collapsed="false">
      <c r="A13" s="7" t="s">
        <v>43</v>
      </c>
      <c r="B13" s="9"/>
      <c r="C13" s="9"/>
      <c r="D13" s="9" t="n">
        <f aca="false">C13-B13</f>
        <v>0</v>
      </c>
      <c r="E13" s="9"/>
    </row>
    <row r="14" customFormat="false" ht="15" hidden="false" customHeight="false" outlineLevel="0" collapsed="false">
      <c r="A14" s="11" t="s">
        <v>44</v>
      </c>
      <c r="B14" s="12" t="n">
        <f aca="false">SUM(B5:B13)</f>
        <v>12</v>
      </c>
      <c r="C14" s="12" t="n">
        <f aca="false">SUM(C5:C13)</f>
        <v>12</v>
      </c>
      <c r="D14" s="12" t="n">
        <f aca="false">SUM(D5:D13)</f>
        <v>0</v>
      </c>
      <c r="E14" s="12" t="n">
        <f aca="false">SUM(E5:E13)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6" min="3" style="0" width="13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</row>
    <row r="3" customFormat="false" ht="15" hidden="false" customHeight="false" outlineLevel="0" collapsed="false">
      <c r="A3" s="13" t="n">
        <v>46068</v>
      </c>
      <c r="B3" s="14" t="s">
        <v>53</v>
      </c>
      <c r="C3" s="10" t="n">
        <v>2000</v>
      </c>
      <c r="D3" s="10"/>
      <c r="E3" s="10"/>
      <c r="F3" s="10"/>
      <c r="G3" s="14" t="s">
        <v>54</v>
      </c>
    </row>
    <row r="4" customFormat="false" ht="15" hidden="false" customHeight="false" outlineLevel="0" collapsed="false">
      <c r="A4" s="13" t="n">
        <v>46091</v>
      </c>
      <c r="B4" s="14" t="s">
        <v>55</v>
      </c>
      <c r="C4" s="10"/>
      <c r="D4" s="10" t="n">
        <v>12</v>
      </c>
      <c r="E4" s="10"/>
      <c r="F4" s="10"/>
      <c r="G4" s="14" t="s">
        <v>56</v>
      </c>
    </row>
    <row r="5" customFormat="false" ht="15" hidden="false" customHeight="false" outlineLevel="0" collapsed="false">
      <c r="A5" s="13" t="n">
        <v>46162</v>
      </c>
      <c r="B5" s="14" t="s">
        <v>57</v>
      </c>
      <c r="C5" s="10"/>
      <c r="D5" s="10"/>
      <c r="E5" s="10" t="n">
        <v>1800</v>
      </c>
      <c r="F5" s="10"/>
      <c r="G5" s="14" t="s">
        <v>58</v>
      </c>
    </row>
    <row r="6" customFormat="false" ht="15" hidden="false" customHeight="false" outlineLevel="0" collapsed="false">
      <c r="A6" s="15"/>
      <c r="B6" s="16"/>
      <c r="C6" s="17"/>
      <c r="D6" s="17"/>
      <c r="E6" s="17"/>
      <c r="F6" s="17"/>
      <c r="G6" s="16"/>
    </row>
    <row r="7" customFormat="false" ht="15" hidden="false" customHeight="false" outlineLevel="0" collapsed="false">
      <c r="A7" s="15"/>
      <c r="B7" s="16"/>
      <c r="C7" s="17"/>
      <c r="D7" s="17"/>
      <c r="E7" s="17"/>
      <c r="F7" s="17"/>
      <c r="G7" s="16"/>
    </row>
    <row r="8" customFormat="false" ht="15" hidden="false" customHeight="false" outlineLevel="0" collapsed="false">
      <c r="A8" s="15"/>
      <c r="B8" s="16"/>
      <c r="C8" s="17"/>
      <c r="D8" s="17"/>
      <c r="E8" s="17"/>
      <c r="F8" s="17"/>
      <c r="G8" s="16"/>
    </row>
    <row r="9" customFormat="false" ht="15" hidden="false" customHeight="false" outlineLevel="0" collapsed="false">
      <c r="A9" s="15"/>
      <c r="B9" s="16"/>
      <c r="C9" s="17"/>
      <c r="D9" s="17"/>
      <c r="E9" s="17"/>
      <c r="F9" s="17"/>
      <c r="G9" s="16"/>
    </row>
    <row r="10" customFormat="false" ht="15" hidden="false" customHeight="false" outlineLevel="0" collapsed="false">
      <c r="A10" s="15"/>
      <c r="B10" s="16"/>
      <c r="C10" s="17"/>
      <c r="D10" s="17"/>
      <c r="E10" s="17"/>
      <c r="F10" s="17"/>
      <c r="G10" s="16"/>
    </row>
    <row r="11" customFormat="false" ht="15" hidden="false" customHeight="false" outlineLevel="0" collapsed="false">
      <c r="A11" s="15"/>
      <c r="B11" s="16"/>
      <c r="C11" s="17"/>
      <c r="D11" s="17"/>
      <c r="E11" s="17"/>
      <c r="F11" s="17"/>
      <c r="G11" s="16"/>
    </row>
    <row r="12" customFormat="false" ht="15" hidden="false" customHeight="false" outlineLevel="0" collapsed="false">
      <c r="A12" s="15"/>
      <c r="B12" s="16"/>
      <c r="C12" s="17"/>
      <c r="D12" s="17"/>
      <c r="E12" s="17"/>
      <c r="F12" s="17"/>
      <c r="G12" s="16"/>
    </row>
    <row r="13" customFormat="false" ht="15" hidden="false" customHeight="false" outlineLevel="0" collapsed="false">
      <c r="A13" s="15"/>
      <c r="B13" s="16"/>
      <c r="C13" s="17"/>
      <c r="D13" s="17"/>
      <c r="E13" s="17"/>
      <c r="F13" s="17"/>
      <c r="G13" s="16"/>
    </row>
    <row r="14" customFormat="false" ht="15" hidden="false" customHeight="false" outlineLevel="0" collapsed="false">
      <c r="A14" s="15"/>
      <c r="B14" s="16"/>
      <c r="C14" s="17"/>
      <c r="D14" s="17"/>
      <c r="E14" s="17"/>
      <c r="F14" s="17"/>
      <c r="G14" s="16"/>
    </row>
    <row r="15" customFormat="false" ht="15" hidden="false" customHeight="false" outlineLevel="0" collapsed="false">
      <c r="A15" s="15"/>
      <c r="B15" s="16"/>
      <c r="C15" s="17"/>
      <c r="D15" s="17"/>
      <c r="E15" s="17"/>
      <c r="F15" s="17"/>
      <c r="G15" s="16"/>
    </row>
    <row r="16" customFormat="false" ht="15" hidden="false" customHeight="false" outlineLevel="0" collapsed="false">
      <c r="A16" s="15"/>
      <c r="B16" s="16"/>
      <c r="C16" s="17"/>
      <c r="D16" s="17"/>
      <c r="E16" s="17"/>
      <c r="F16" s="17"/>
      <c r="G16" s="16"/>
    </row>
    <row r="17" customFormat="false" ht="15" hidden="false" customHeight="false" outlineLevel="0" collapsed="false">
      <c r="A17" s="15"/>
      <c r="B17" s="16"/>
      <c r="C17" s="17"/>
      <c r="D17" s="17"/>
      <c r="E17" s="17"/>
      <c r="F17" s="17"/>
      <c r="G17" s="16"/>
    </row>
    <row r="18" customFormat="false" ht="15" hidden="false" customHeight="false" outlineLevel="0" collapsed="false">
      <c r="A18" s="15"/>
      <c r="B18" s="16"/>
      <c r="C18" s="17"/>
      <c r="D18" s="17"/>
      <c r="E18" s="17"/>
      <c r="F18" s="17"/>
      <c r="G18" s="16"/>
    </row>
    <row r="19" customFormat="false" ht="15" hidden="false" customHeight="false" outlineLevel="0" collapsed="false">
      <c r="A19" s="15"/>
      <c r="B19" s="16"/>
      <c r="C19" s="17"/>
      <c r="D19" s="17"/>
      <c r="E19" s="17"/>
      <c r="F19" s="17"/>
      <c r="G19" s="16"/>
    </row>
    <row r="20" customFormat="false" ht="15" hidden="false" customHeight="false" outlineLevel="0" collapsed="false">
      <c r="A20" s="15"/>
      <c r="B20" s="16"/>
      <c r="C20" s="17"/>
      <c r="D20" s="17"/>
      <c r="E20" s="17"/>
      <c r="F20" s="17"/>
      <c r="G20" s="16"/>
    </row>
    <row r="21" customFormat="false" ht="15" hidden="false" customHeight="false" outlineLevel="0" collapsed="false">
      <c r="A21" s="15"/>
      <c r="B21" s="16"/>
      <c r="C21" s="17"/>
      <c r="D21" s="17"/>
      <c r="E21" s="17"/>
      <c r="F21" s="17"/>
      <c r="G21" s="16"/>
    </row>
    <row r="22" customFormat="false" ht="15" hidden="false" customHeight="false" outlineLevel="0" collapsed="false">
      <c r="A22" s="15"/>
      <c r="B22" s="16"/>
      <c r="C22" s="17"/>
      <c r="D22" s="17"/>
      <c r="E22" s="17"/>
      <c r="F22" s="17"/>
      <c r="G22" s="16"/>
    </row>
    <row r="23" customFormat="false" ht="15" hidden="false" customHeight="false" outlineLevel="0" collapsed="false">
      <c r="A23" s="15"/>
      <c r="B23" s="16"/>
      <c r="C23" s="17"/>
      <c r="D23" s="17"/>
      <c r="E23" s="17"/>
      <c r="F23" s="17"/>
      <c r="G23" s="16"/>
    </row>
    <row r="24" customFormat="false" ht="15" hidden="false" customHeight="false" outlineLevel="0" collapsed="false">
      <c r="A24" s="15"/>
      <c r="B24" s="16"/>
      <c r="C24" s="17"/>
      <c r="D24" s="17"/>
      <c r="E24" s="17"/>
      <c r="F24" s="17"/>
      <c r="G24" s="16"/>
    </row>
    <row r="25" customFormat="false" ht="15" hidden="false" customHeight="false" outlineLevel="0" collapsed="false">
      <c r="A25" s="15"/>
      <c r="B25" s="16"/>
      <c r="C25" s="17"/>
      <c r="D25" s="17"/>
      <c r="E25" s="17"/>
      <c r="F25" s="17"/>
      <c r="G25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59</v>
      </c>
    </row>
    <row r="3" customFormat="false" ht="15" hidden="false" customHeight="false" outlineLevel="0" collapsed="false">
      <c r="A3" s="4" t="s">
        <v>60</v>
      </c>
      <c r="B3" s="18" t="n">
        <v>2026</v>
      </c>
    </row>
    <row r="4" customFormat="false" ht="15" hidden="false" customHeight="false" outlineLevel="0" collapsed="false">
      <c r="A4" s="4" t="s">
        <v>61</v>
      </c>
      <c r="B4" s="19" t="n">
        <v>0.3</v>
      </c>
    </row>
    <row r="6" customFormat="false" ht="15" hidden="false" customHeight="false" outlineLevel="0" collapsed="false">
      <c r="A6" s="6" t="s">
        <v>62</v>
      </c>
      <c r="B6" s="6" t="s">
        <v>63</v>
      </c>
      <c r="C6" s="6" t="s">
        <v>64</v>
      </c>
      <c r="D6" s="6" t="s">
        <v>65</v>
      </c>
      <c r="E6" s="6" t="s">
        <v>66</v>
      </c>
    </row>
    <row r="7" customFormat="false" ht="15" hidden="false" customHeight="false" outlineLevel="0" collapsed="false">
      <c r="A7" s="7" t="s">
        <v>67</v>
      </c>
      <c r="B7" s="9" t="n">
        <f aca="false">SUMIFS(Ledger!$C:$C,Ledger!$A:$A,"&gt;="&amp;DATE($B$3,1,1),Ledger!$A:$A,"&lt;="&amp;DATE($B$3,3,31))</f>
        <v>2000</v>
      </c>
      <c r="C7" s="9" t="n">
        <f aca="false">SUMIFS(Ledger!$D:$D,Ledger!$A:$A,"&gt;="&amp;DATE($B$3,1,1),Ledger!$A:$A,"&lt;="&amp;DATE($B$3,3,31))+SUMIFS(Ledger!$E:$E,Ledger!$A:$A,"&gt;="&amp;DATE($B$3,1,1),Ledger!$A:$A,"&lt;="&amp;DATE($B$3,3,31))+SUMIFS(Ledger!$F:$F,Ledger!$A:$A,"&gt;="&amp;DATE($B$3,1,1),Ledger!$A:$A,"&lt;="&amp;DATE($B$3,3,31))</f>
        <v>12</v>
      </c>
      <c r="D7" s="9" t="n">
        <f aca="false">B7-C7</f>
        <v>1988</v>
      </c>
      <c r="E7" s="9" t="n">
        <f aca="false">D7*$B$4</f>
        <v>596.4</v>
      </c>
    </row>
    <row r="8" customFormat="false" ht="15" hidden="false" customHeight="false" outlineLevel="0" collapsed="false">
      <c r="A8" s="7" t="s">
        <v>68</v>
      </c>
      <c r="B8" s="9" t="n">
        <f aca="false">SUMIFS(Ledger!$C:$C,Ledger!$A:$A,"&gt;="&amp;DATE($B$3,4,1),Ledger!$A:$A,"&lt;="&amp;DATE($B$3,6,30))</f>
        <v>0</v>
      </c>
      <c r="C8" s="9" t="n">
        <f aca="false">SUMIFS(Ledger!$D:$D,Ledger!$A:$A,"&gt;="&amp;DATE($B$3,4,1),Ledger!$A:$A,"&lt;="&amp;DATE($B$3,6,30))+SUMIFS(Ledger!$E:$E,Ledger!$A:$A,"&gt;="&amp;DATE($B$3,4,1),Ledger!$A:$A,"&lt;="&amp;DATE($B$3,6,30))+SUMIFS(Ledger!$F:$F,Ledger!$A:$A,"&gt;="&amp;DATE($B$3,4,1),Ledger!$A:$A,"&lt;="&amp;DATE($B$3,6,30))</f>
        <v>1800</v>
      </c>
      <c r="D8" s="9" t="n">
        <f aca="false">B8-C8</f>
        <v>-1800</v>
      </c>
      <c r="E8" s="9" t="n">
        <f aca="false">D8*$B$4</f>
        <v>-540</v>
      </c>
    </row>
    <row r="9" customFormat="false" ht="15" hidden="false" customHeight="false" outlineLevel="0" collapsed="false">
      <c r="A9" s="7" t="s">
        <v>69</v>
      </c>
      <c r="B9" s="9" t="n">
        <f aca="false">SUMIFS(Ledger!$C:$C,Ledger!$A:$A,"&gt;="&amp;DATE($B$3,7,1),Ledger!$A:$A,"&lt;="&amp;DATE($B$3,9,30))</f>
        <v>0</v>
      </c>
      <c r="C9" s="9" t="n">
        <f aca="false">SUMIFS(Ledger!$D:$D,Ledger!$A:$A,"&gt;="&amp;DATE($B$3,7,1),Ledger!$A:$A,"&lt;="&amp;DATE($B$3,9,30))+SUMIFS(Ledger!$E:$E,Ledger!$A:$A,"&gt;="&amp;DATE($B$3,7,1),Ledger!$A:$A,"&lt;="&amp;DATE($B$3,9,30))+SUMIFS(Ledger!$F:$F,Ledger!$A:$A,"&gt;="&amp;DATE($B$3,7,1),Ledger!$A:$A,"&lt;="&amp;DATE($B$3,9,30))</f>
        <v>0</v>
      </c>
      <c r="D9" s="9" t="n">
        <f aca="false">B9-C9</f>
        <v>0</v>
      </c>
      <c r="E9" s="9" t="n">
        <f aca="false">D9*$B$4</f>
        <v>0</v>
      </c>
    </row>
    <row r="10" customFormat="false" ht="15" hidden="false" customHeight="false" outlineLevel="0" collapsed="false">
      <c r="A10" s="7" t="s">
        <v>70</v>
      </c>
      <c r="B10" s="9" t="n">
        <f aca="false">SUMIFS(Ledger!$C:$C,Ledger!$A:$A,"&gt;="&amp;DATE($B$3,10,1),Ledger!$A:$A,"&lt;="&amp;DATE($B$3,12,31))</f>
        <v>0</v>
      </c>
      <c r="C10" s="9" t="n">
        <f aca="false">SUMIFS(Ledger!$D:$D,Ledger!$A:$A,"&gt;="&amp;DATE($B$3,10,1),Ledger!$A:$A,"&lt;="&amp;DATE($B$3,12,31))+SUMIFS(Ledger!$E:$E,Ledger!$A:$A,"&gt;="&amp;DATE($B$3,10,1),Ledger!$A:$A,"&lt;="&amp;DATE($B$3,12,31))+SUMIFS(Ledger!$F:$F,Ledger!$A:$A,"&gt;="&amp;DATE($B$3,10,1),Ledger!$A:$A,"&lt;="&amp;DATE($B$3,12,31))</f>
        <v>0</v>
      </c>
      <c r="D10" s="9" t="n">
        <f aca="false">B10-C10</f>
        <v>0</v>
      </c>
      <c r="E10" s="9" t="n">
        <f aca="false">D10*$B$4</f>
        <v>0</v>
      </c>
    </row>
    <row r="11" customFormat="false" ht="15" hidden="false" customHeight="false" outlineLevel="0" collapsed="false">
      <c r="A11" s="11" t="s">
        <v>60</v>
      </c>
      <c r="B11" s="12" t="n">
        <f aca="false">SUM(B7:B10)</f>
        <v>2000</v>
      </c>
      <c r="C11" s="12" t="n">
        <f aca="false">SUM(C7:C10)</f>
        <v>1812</v>
      </c>
      <c r="D11" s="12" t="n">
        <f aca="false">SUM(D7:D10)</f>
        <v>188</v>
      </c>
      <c r="E11" s="12" t="n">
        <f aca="false">SUM(E7:E10)</f>
        <v>56.4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2026-09-08T17:54:48Z</dcterms:created>
  <dc:creator>openpyxl</dc:creator>
  <dc:description/>
  <dc:language>en-US</dc:language>
  <cp:lastModifiedBy/>
  <dcterms:modified xsi:type="dcterms:W3CDTF">2026-09-08T17:54:48Z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